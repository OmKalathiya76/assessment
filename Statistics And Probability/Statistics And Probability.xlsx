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Z_Test" sheetId="1" state="visible" r:id="rId1"/>
    <sheet xmlns:r="http://schemas.openxmlformats.org/officeDocument/2006/relationships" name="Q2_Chi_Squ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Sample Size (n)</t>
        </is>
      </c>
    </row>
    <row r="2">
      <c r="A2" t="inlineStr">
        <is>
          <t>Girls</t>
        </is>
      </c>
      <c r="B2" t="n">
        <v>89</v>
      </c>
      <c r="C2" t="n">
        <v>4</v>
      </c>
      <c r="D2" t="n">
        <v>50</v>
      </c>
    </row>
    <row r="3">
      <c r="A3" t="inlineStr">
        <is>
          <t>Boys</t>
        </is>
      </c>
      <c r="B3" t="n">
        <v>82</v>
      </c>
      <c r="C3" t="n">
        <v>9</v>
      </c>
      <c r="D3" t="n">
        <v>120</v>
      </c>
    </row>
    <row r="5">
      <c r="A5" s="1" t="inlineStr">
        <is>
          <t>Z Calculation</t>
        </is>
      </c>
    </row>
    <row r="6">
      <c r="A6" t="inlineStr">
        <is>
          <t>Z Value</t>
        </is>
      </c>
      <c r="B6">
        <f>(B2-B3)/SQRT((C2^2/D2)+(C3^2/D3))</f>
        <v/>
      </c>
    </row>
    <row r="7">
      <c r="A7" t="inlineStr">
        <is>
          <t>Critical Z (5%)</t>
        </is>
      </c>
      <c r="B7" t="n">
        <v>1.96</v>
      </c>
    </row>
    <row r="8">
      <c r="A8" t="inlineStr">
        <is>
          <t>Conclusion</t>
        </is>
      </c>
      <c r="B8">
        <f>IF(ABS(B6)&gt;B7,"Reject H0 (Significant Difference)","Accept H0 (No Significant Difference)")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Cancer (Observed)</t>
        </is>
      </c>
      <c r="C1" s="1" t="inlineStr">
        <is>
          <t>No Cancer (Observed)</t>
        </is>
      </c>
      <c r="D1" s="1" t="inlineStr">
        <is>
          <t>Row Total</t>
        </is>
      </c>
    </row>
    <row r="2">
      <c r="A2" t="inlineStr">
        <is>
          <t>Smokers</t>
        </is>
      </c>
      <c r="B2" t="n">
        <v>220</v>
      </c>
      <c r="C2" t="n">
        <v>230</v>
      </c>
      <c r="D2">
        <f>B2+C2</f>
        <v/>
      </c>
    </row>
    <row r="3">
      <c r="A3" t="inlineStr">
        <is>
          <t>Non-Smokers</t>
        </is>
      </c>
      <c r="B3" t="n">
        <v>350</v>
      </c>
      <c r="C3" t="n">
        <v>640</v>
      </c>
      <c r="D3">
        <f>B3+C3</f>
        <v/>
      </c>
    </row>
    <row r="4">
      <c r="A4" t="inlineStr">
        <is>
          <t>Column Total</t>
        </is>
      </c>
      <c r="B4">
        <f>SUM(B2:B3)</f>
        <v/>
      </c>
      <c r="C4">
        <f>SUM(C2:C3)</f>
        <v/>
      </c>
      <c r="D4">
        <f>SUM(D2:D3)</f>
        <v/>
      </c>
    </row>
    <row r="6">
      <c r="A6" t="inlineStr">
        <is>
          <t>Expected (Smokers &amp; Cancer)</t>
        </is>
      </c>
      <c r="B6">
        <f>(D2*B4)/D4</f>
        <v/>
      </c>
    </row>
    <row r="7">
      <c r="A7" t="inlineStr">
        <is>
          <t>Chi-Square Value</t>
        </is>
      </c>
      <c r="B7">
        <f>(B2-B6)^2/B6</f>
        <v/>
      </c>
    </row>
    <row r="8">
      <c r="A8" t="inlineStr">
        <is>
          <t>Critical Chi-Square (5%, df=1)</t>
        </is>
      </c>
      <c r="B8" t="n">
        <v>3.84</v>
      </c>
    </row>
    <row r="9">
      <c r="A9" t="inlineStr">
        <is>
          <t>Conclusion</t>
        </is>
      </c>
      <c r="B9">
        <f>IF(B7&gt;B8,"Reject H0 (Smoking Associated with Cancer)","Accept H0")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2026-02-12T10:26:15Z</dcterms:created>
  <dcterms:modified xmlns:dcterms="http://purl.org/dc/terms/" xmlns:xsi="http://www.w3.org/2001/XMLSchema-instance" xsi:type="dcterms:W3CDTF">2026-02-12T10:26:15Z</dcterms:modified>
</cp:coreProperties>
</file>